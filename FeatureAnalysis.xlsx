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HK47\nam_tu\HK2\KHOA_LUAN\Baocao\"/>
    </mc:Choice>
  </mc:AlternateContent>
  <xr:revisionPtr revIDLastSave="0" documentId="13_ncr:1_{4EB8D471-5082-40B2-B9D3-4E3B9E9F11DA}" xr6:coauthVersionLast="47" xr6:coauthVersionMax="47" xr10:uidLastSave="{00000000-0000-0000-0000-000000000000}"/>
  <bookViews>
    <workbookView xWindow="-108" yWindow="-108" windowWidth="23256" windowHeight="13176" tabRatio="500" firstSheet="1" activeTab="4" xr2:uid="{00000000-000D-0000-FFFF-FFFF00000000}"/>
  </bookViews>
  <sheets>
    <sheet name="Trường Dữ Liệu PaySim" sheetId="1" r:id="rId1"/>
    <sheet name="Đặc Trưng Kỹ Thuật Hóa" sheetId="2" r:id="rId2"/>
    <sheet name="SHAP Contribution" sheetId="3" state="hidden" r:id="rId3"/>
    <sheet name="Pattern Fraud Điển Hình" sheetId="4" r:id="rId4"/>
    <sheet name="Biểu Đồ Tầm Quan Trọng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<sst xmlns="http://schemas.openxmlformats.org/spreadsheetml/2006/main" count="273" uniqueCount="214">
  <si>
    <t>TRƯỜNG DỮ LIỆU PAYSIM – Mô Tả &amp; Vai Trò Trong Phát Hiện Gian Lận</t>
  </si>
  <si>
    <t>PaySim là tập dữ liệu mô phỏng giao dịch tiền di động. Sau khi lọc chỉ còn TRANSFER + CASH_OUT (2 loại có fraud), hệ thống sử dụng 7 trường gốc + đặc trưng kỹ thuật hóa để huấn luyện ML.</t>
  </si>
  <si>
    <t>Tên trường</t>
  </si>
  <si>
    <t>Kiểu dữ liệu</t>
  </si>
  <si>
    <t>Mô tả chi tiết</t>
  </si>
  <si>
    <t>Ảnh hưởng
fraud</t>
  </si>
  <si>
    <t>Xếp hạng
tầm quan trọng</t>
  </si>
  <si>
    <t>Ví dụ thực tế (từ KB)</t>
  </si>
  <si>
    <t>step</t>
  </si>
  <si>
    <t>Bước thời gian mô phỏng.
1 step = 1 giờ thực.
Giao dịch diễn ra từ step 1 đến 744 (31 ngày).</t>
  </si>
  <si>
    <t>1,339</t>
  </si>
  <si>
    <t>3 / 7</t>
  </si>
  <si>
    <t>KB6: step=1 (1h sáng) → SHAP +1.077 tăng rủi ro đáng kể
KB1: step=550 → SHAP −0.808 giảm rủi ro</t>
  </si>
  <si>
    <t>type</t>
  </si>
  <si>
    <t>Categorical
(Phân loại)</t>
  </si>
  <si>
    <t>Loại giao dịch.
Chỉ TRANSFER và CASH_OUT mới có gian lận trong PaySim.
CODE: 0=CASH_OUT, 1=TRANSFER</t>
  </si>
  <si>
    <t>0,375</t>
  </si>
  <si>
    <t>6 / 7</t>
  </si>
  <si>
    <t>KB1,2,3,5: TRANSFER → SHAP −1.13 đến −1.41
KB4,6: CASH_OUT → không có tác động giảm</t>
  </si>
  <si>
    <t>amount</t>
  </si>
  <si>
    <t>Số tiền giao dịch (đơn vị: VND trong hệ thống, USD trong log SHAP).
Đây là đặc trưng TĂNG rủi ro mạnh nhất theo SHAP.
Số tiền lớn → nguy cơ rửa tiền cao hơn.</t>
  </si>
  <si>
    <t>1,375</t>
  </si>
  <si>
    <t>2 / 7</t>
  </si>
  <si>
    <t>KB6: 38.130 USD → SHAP +3.39 (mạnh nhất KB6)
KB2: 32.410 USD → SHAP +4.58 (mạnh nhất KB2)
KB1: 1.906 USD → SHAP +4.14 nhưng bù trừ bởi số dư sau GD</t>
  </si>
  <si>
    <t>oldbalanceOrg</t>
  </si>
  <si>
    <t>Số dư tài khoản NGUỒN trước khi giao dịch diễn ra.
Khi số dư nguồn = amount → tài khoản bị rút sạch → dấu hiệu fraud mạnh.
Số dư cao + GD lớn → nguy cơ cao hơn.</t>
  </si>
  <si>
    <t>2,697</t>
  </si>
  <si>
    <t>1 / 7</t>
  </si>
  <si>
    <t>KB6: 38.130 USD = amount → SHAP +1.80 (bị rút sạch hoàn toàn)
KB2: 32.410 USD = amount → SHAP +1.87
KB3: 76.260 USD &gt; amount → giảm rủi ro vì còn số dư</t>
  </si>
  <si>
    <t>newbalanceOrig</t>
  </si>
  <si>
    <t>Số dư tài khoản NGUỒN sau khi giao dịch.
Kịch bản nguy hiểm nhất: newbalanceOrig = 0 → tài khoản bị rút SẠCH hoàn toàn.
Đây là dấu hiệu smurfing / account takeover điển hình.</t>
  </si>
  <si>
    <t>1,144</t>
  </si>
  <si>
    <t>4 / 7</t>
  </si>
  <si>
    <t>KB2 &amp; KB6: newbalanceOrig = 0 → SHAP +1.31 / +1.49 → RÚT SẠCH TÀI KHOẢN
KB3: newbalanceOrig = 51.475 USD → SHAP −5.08 → rất an toàn
KB5: 83.886 USD → SHAP −5.77 → an toàn nhất</t>
  </si>
  <si>
    <t>oldbalanceDest</t>
  </si>
  <si>
    <t>Số dư tài khoản ĐÍCH trước khi nhận tiền.
Nếu = 0 → tài khoản đích mới tạo / chưa dùng → dấu hiệu tài khoản trung gian (mule account).
Tương tác với newbalanceDest để phát hiện bất thường.</t>
  </si>
  <si>
    <t>0,392</t>
  </si>
  <si>
    <t>5 / 7</t>
  </si>
  <si>
    <t>KB2: oldbalanceDest = 0 → SHAP +0.866 tăng rủi ro
KB6: oldbalanceDest = 0 → SHAP +0.646
KB1: 762 USD → SHAP +0.186 (nhẹ)</t>
  </si>
  <si>
    <t>newbalanceDest</t>
  </si>
  <si>
    <t>Số dư tài khoản ĐÍCH sau khi nhận tiền.
Kiểm tra tính nhất quán: newbalanceDest = oldbalanceDest + amount?
Nếu không → lỗi số dư → bất thường trong hệ thống.</t>
  </si>
  <si>
    <t>0,371</t>
  </si>
  <si>
    <t>7 / 7</t>
  </si>
  <si>
    <t>KB5: 13.345 USD → SHAP −0.219 giảm nhẹ
Hầu hết KB: đóng góp SHAP gần 0</t>
  </si>
  <si>
    <t>ĐẶC TRƯNG KỸ THUẬT HÓA – Autoencoder v2.2 (11 Features)</t>
  </si>
  <si>
    <t>Autoencoder được huấn luyện trên 400.000 giao dịch BÌNH THƯỜNG để học pattern thông thường. Khi gặp giao dịch gian lận → reconstruction error cao → phát hiện bất thường. 11 đặc trưng sau được biến đổi log và chuẩn hóa trước khi đưa vào AE.</t>
  </si>
  <si>
    <t>Tên đặc trưng</t>
  </si>
  <si>
    <t>Công thức tính</t>
  </si>
  <si>
    <t>Ý nghĩa kinh doanh</t>
  </si>
  <si>
    <t>Khi = 0 nghĩa là?</t>
  </si>
  <si>
    <t>Mức độ bất thường
khi fraud</t>
  </si>
  <si>
    <t>AE Recon.
Error điển hình</t>
  </si>
  <si>
    <t>Ví dụ từ KB có fraud</t>
  </si>
  <si>
    <t>log_amount</t>
  </si>
  <si>
    <t>log(1 + amount)</t>
  </si>
  <si>
    <t>Log số tiền GD.
Biến đổi log để giảm skew của phân phối số tiền lớn.</t>
  </si>
  <si>
    <t>Không xảy ra
(amount luôn &gt; 0)</t>
  </si>
  <si>
    <t>0.030 – 0.148</t>
  </si>
  <si>
    <t>KB1: log_amount=7.55 → error=0.148
KB3: log_amount=10.12 → error=0.031 (bình thường)</t>
  </si>
  <si>
    <t>log_oldbalanceOrig</t>
  </si>
  <si>
    <t>log(1 + oldbalanceOrg)</t>
  </si>
  <si>
    <t>Log số dư nguồn TRƯỚC GD.
Phản ánh quy mô tài khoản người gửi.</t>
  </si>
  <si>
    <t>Tài khoản nguồn
rỗng trước GD
→ đáng ngờ cao</t>
  </si>
  <si>
    <t>0.022 – 0.033</t>
  </si>
  <si>
    <t>KB4: log=8.94 → error=0.033
KB5: log=11.47 → error=0.023</t>
  </si>
  <si>
    <t>log_newbalanceOrig</t>
  </si>
  <si>
    <t>log(1 + newbalanceOrig)</t>
  </si>
  <si>
    <t>Log số dư nguồn SAU GD.
Nếu = 0 (log→ rất nhỏ) → tài khoản bị rút sạch.</t>
  </si>
  <si>
    <t>⚠ RẤT NGUY HIỂM
newbalanceOrig = 0
→ bị rút sạch hoàn toàn
→ log ≈ 0</t>
  </si>
  <si>
    <t>0.061 – 2.516</t>
  </si>
  <si>
    <t>KB6: log=0 (rút sạch) → error=2.516 (cao nhất!)
KB2: log=0 → error=1.077
KB5: log=11.33 → error=0.003 (bình thường)</t>
  </si>
  <si>
    <t>log_oldbalanceDest</t>
  </si>
  <si>
    <t>log(1 + oldbalanceDest)</t>
  </si>
  <si>
    <t>Log số dư đích TRƯỚC GD.
Tài khoản đích = 0 → mule account mới tạo.</t>
  </si>
  <si>
    <t>⚠ Tài khoản đích mới
/ chưa từng dùng
→ dấu hiệu mule</t>
  </si>
  <si>
    <t>0.007 – 0.034</t>
  </si>
  <si>
    <t>KB2: oldbalanceDest=0 → đáng ngờ
KB3: 762 USD → bình thường</t>
  </si>
  <si>
    <t>log_newbalanceDest</t>
  </si>
  <si>
    <t>log(1 + newbalanceDest)</t>
  </si>
  <si>
    <t>Log số dư đích SAU GD.
Kiểm tra: tiền có đến đích không? Có bị giữ lại không?</t>
  </si>
  <si>
    <t>Tiền không đến
được tài khoản đích
→ bất thường</t>
  </si>
  <si>
    <t>0.015 – 0.085</t>
  </si>
  <si>
    <t>KB6: log=10.39 → error=0.034
Hầu hết KB: error thấp</t>
  </si>
  <si>
    <t>log_errorBalanceOrig</t>
  </si>
  <si>
    <t>log(1 + |newbalOrig
+ amount − oldbalOrig|)</t>
  </si>
  <si>
    <t>Log SAI SỐ SỐ DƯ NGUỒN.
Nếu ≠ 0 → có mâu thuẫn trong số dư tài khoản nguồn.
Giao dịch bình thường: error ≈ 0.</t>
  </si>
  <si>
    <t>GD bình thường
(số dư cân bằng)
→ errorBalOrig = 0</t>
  </si>
  <si>
    <t>0.043 – 2.631</t>
  </si>
  <si>
    <t>KB2: error=2.631 (cao nhất AE)
→ số dư nguồn MÂU THUẪN nghiêm trọng
KB6: error=0.270
KB1: error=0.429</t>
  </si>
  <si>
    <t>log_errorBalanceDest</t>
  </si>
  <si>
    <t>log(1 + |newbalDest
− oldbalDest − amount|)</t>
  </si>
  <si>
    <t>Log SAI SỐ SỐ DƯ ĐÍCH.
Nếu ≠ 0 → tiền không khớp ở tài khoản đích.
Giao dịch bình thường: error ≈ 0.</t>
  </si>
  <si>
    <t>GD bình thường
(số dư cân bằng)
→ errorBalDest = 0</t>
  </si>
  <si>
    <t>0.007 – 0.429</t>
  </si>
  <si>
    <t>KB1: error=0.429 (khá cao)
KB3: error=0.007 (bình thường)
KB2: tài khoản đích mới</t>
  </si>
  <si>
    <t>balance_drain</t>
  </si>
  <si>
    <t>1 nếu newbalOrig/oldbalOrig &lt; 0.1
(rút &gt; 90% số dư)
Sinon 0</t>
  </si>
  <si>
    <t>CỜ RÚT SẠCh TIỀN.
Binary flag = 1 nếu tài khoản nguồn mất &gt; 90% số dư.
Dấu hiệu điển hình của account takeover.</t>
  </si>
  <si>
    <t>Chưa rút sạch
(balance_drain = 0)
→ bình thường</t>
  </si>
  <si>
    <t>0.017 – 1.135</t>
  </si>
  <si>
    <t>KB2: balance_drain=1 → error=1.135 (thứ 2 cao nhất)
KB6: balance_drain không xác định (CASH_OUT)
KB1: =0 → error=0.384 (anomaly trong AE)</t>
  </si>
  <si>
    <t>amount_ratio</t>
  </si>
  <si>
    <t>amount / (oldbalOrig + 1)</t>
  </si>
  <si>
    <t>TỶ LỆ SỐ TIỀN / SỐ DƯ NGUỒN.
= 1.0 → rút toàn bộ số dư.
= 0.5 → rút nửa số dư.
Gần 1.0 → rủi ro cao.</t>
  </si>
  <si>
    <t>amount_ratio ≈ 0
→ GD nhỏ so với
số dư → an toàn</t>
  </si>
  <si>
    <t>0.037 – 0.165</t>
  </si>
  <si>
    <t>KB2: ratio=0.9999 (rút gần toàn bộ) → error=0.165
KB4: ratio=0.499 → error=0.037
KB3: ratio nhỏ → an toàn</t>
  </si>
  <si>
    <t>type
(mã hóa)</t>
  </si>
  <si>
    <t>0 = CASH_OUT
1 = TRANSFER</t>
  </si>
  <si>
    <t>Loại giao dịch (số hóa).
CASH_OUT (0) có tỷ lệ fraud cao hơn TRANSFER trong PaySim.
AE học phân biệt pattern của 2 loại.</t>
  </si>
  <si>
    <t>N/A</t>
  </si>
  <si>
    <t>0.093 – 0.108</t>
  </si>
  <si>
    <t>KB6 (CASH_OUT=0): AE error=0.093 cho feature này
KB1 (TRANSFER=1): error=0.108</t>
  </si>
  <si>
    <t>step
(mã hóa)</t>
  </si>
  <si>
    <t>step / 744
(chuẩn hóa 0-1)</t>
  </si>
  <si>
    <t>Thời điểm GD trong tháng.
Step nhỏ = đầu tháng.
Step lớn = cuối tháng.
AE học pattern theo thời gian trong ngày/tháng.</t>
  </si>
  <si>
    <t>N/A (step luôn &gt; 0)</t>
  </si>
  <si>
    <t>&lt; 0.010</t>
  </si>
  <si>
    <t>Ít ảnh hưởng trong AE. Quan trọng hơn trong LightGBM.</t>
  </si>
  <si>
    <t>MA TRẬN ĐÓNG GÓP SHAP – Mỗi Đặc Trưng Ảnh Hưởng Thế Nào Đến Từng Giao Dịch</t>
  </si>
  <si>
    <t>SHAP (SHapley Additive exPlanations): giải thích tại sao mô hình cho điểm cao/thấp. Giá trị SHAP dương (+) = tăng xác suất fraud. Âm (−) = giảm xác suất fraud. Tổng SHAP + base_value = log-odds của xác suất fraud cuối cùng. Base value = −6.39 (≈ 0.17% trung bình).</t>
  </si>
  <si>
    <t>Đặc trưng</t>
  </si>
  <si>
    <t>KB1
(APPROVE)
LGBM=0.01%</t>
  </si>
  <si>
    <t>KB2
(REVIEW)
LGBM=43.5%</t>
  </si>
  <si>
    <t>KB3
(REVIEW)
LGBM=0.003%</t>
  </si>
  <si>
    <t>KB4
(REVIEW)
LGBM=0.03%</t>
  </si>
  <si>
    <t>KB5
(REVIEW)
LGBM=0.001%</t>
  </si>
  <si>
    <t>KB6
(REVIEW)
LGBM=87.7%</t>
  </si>
  <si>
    <t>Xu hướng</t>
  </si>
  <si>
    <t>Nhận xét nghiệp vụ</t>
  </si>
  <si>
    <t>Số tiền GD luôn là yếu tố TĂNG rủi ro.
Số tiền càng lớn → SHAP càng cao.
KB6 (1 tỷ VND) và KB2 (850M) có SHAP cao nhất</t>
  </si>
  <si>
    <t>—</t>
  </si>
  <si>
    <t>Số dư nguồn cao + GD lớn = tổ hợp nguy hiểm.
KB2 &amp; KB6: số dư = amount → rút sạch hoàn toàn</t>
  </si>
  <si>
    <t>Đây là đặc trưng biểu hiện HAI CHIỀU rõ nhất.
KB2&amp;6: =0 → SHAP +1.31/+1.49 (rút sạch → fraud)
KB3,4,5: &gt; 40K USD → SHAP −5 đến −5.8 (an toàn)</t>
  </si>
  <si>
    <t>Ít quan trọng hơn các đặc trưng khác.
Anh hưởng nhỏ đến xác suất fraud</t>
  </si>
  <si>
    <t>Tài khoản đích rỗng trước GD → dấu hiệu mule account.
KB2: +0.866 (đáng kể)
KB1: +0.186 (nhẹ)</t>
  </si>
  <si>
    <t>TRANSFER (1) giảm xác suất fraud so với CASH_OUT.
KB4&amp;6 là CASH_OUT → không có tác động giảm từ type</t>
  </si>
  <si>
    <t>Step lớn (cuối tháng) → giảm rủi ro.
Step = 1 (1h sáng đầu tháng như KB6) → TĂNG rủi ro +1.077
Thiếu dữ liệu KB2,5 → dưới top-5 SHAP</t>
  </si>
  <si>
    <t>BASE VALUE</t>
  </si>
  <si>
    <t>Hằng số mô hình</t>
  </si>
  <si>
    <t>Giá trị log-odds trung bình của toàn bộ tập dữ liệu.
= ln(0.0017/(1−0.0017)) ≈ −6.39
↔ xác suất fraud trung bình ≈ 0.17%</t>
  </si>
  <si>
    <t>LGBM Output
(log-odds)</t>
  </si>
  <si>
    <t>Kết quả cuối</t>
  </si>
  <si>
    <t>Tổng base + tất cả SHAP = log-odds → sigmoid → xác suất.
KB2: log-odds ≈ −0.26 → 43.5%
KB6: log-odds ≈ +2.56 → 87.7%</t>
  </si>
  <si>
    <t>PATTERN GIAN LẬN ĐIỂN HÌNH – Từ Dữ Liệu PaySim &amp; Kịch Bản Thực Tế</t>
  </si>
  <si>
    <t>Phân tích 5 pattern gian lận phổ biến nhất trong PaySim và cách hệ thống CFDSS-AI phát hiện từng pattern. Mỗi pattern được minh họa bằng các kịch bản KB tương ứng.</t>
  </si>
  <si>
    <t>P1 — RÚT SẠCH TÀI KHOẢN
(Account Drain)</t>
  </si>
  <si>
    <t>Thông tin</t>
  </si>
  <si>
    <t>Dấu Hiệu Nhận Biết</t>
  </si>
  <si>
    <t>Phát Hiện bởi ML</t>
  </si>
  <si>
    <t>Kịch Bản KB</t>
  </si>
  <si>
    <t>Mức Rủi Ro</t>
  </si>
  <si>
    <t>Ghi Chú Nghiệp Vụ</t>
  </si>
  <si>
    <t>• newbalanceOrig = 0 (hoặc gần 0)
• amount ≈ oldbalanceOrg (rút toàn bộ số dư)
• balance_drain = 1 (flag rút &gt;90%)
• amount_ratio ≈ 1.0
• errorBalanceOrig ≈ 0 (nhất quán số dư)</t>
  </si>
  <si>
    <t>LightGBM: SHAP newbalanceOrig +1.31 → +1.49
LightGBM: SHAP oldbalanceOrg +1.80 → +1.87
AE: log_newbalanceOrig error = 1.077 → 2.516 (RẤT CAO)</t>
  </si>
  <si>
    <t>KB2 &amp; KB6 (cả 2 đều có newbalanceOrig=0)</t>
  </si>
  <si>
    <t>Đây là pattern phổ biến nhất trong rửa tiền qua chuyển khoản. Kẻ gian chiếm tài khoản và rút toàn bộ tiền một lần.</t>
  </si>
  <si>
    <t>P2 — TÀI KHOẢN TRUNG GIAN
(Mule Account)</t>
  </si>
  <si>
    <t>• oldbalanceDest = 0 (tài khoản đích chưa có tiền trước đó)
• GD đến tài khoản mới tạo
• newbalanceOrig = 0 (kết hợp P1)
• Tần suất GD đến tài khoản đích bất thường</t>
  </si>
  <si>
    <t>LightGBM: SHAP oldbalanceDest +0.65 → +0.87
AE: log_oldbalanceDest error cao khi = 0
Kết hợp với P1 → xác suất fraud tăng mạnh</t>
  </si>
  <si>
    <t>KB2 (oldbalanceDest=0) &amp; KB6 (oldbalanceDest=0)</t>
  </si>
  <si>
    <t>Kẻ gian thường chuyển tiền qua nhiều tài khoản mule trước khi rút tiền mặt. Tài khoản đích luôn = 0 trước GD.</t>
  </si>
  <si>
    <t>P3 — GD ĐÊM KHUYA / RẠng SÁNG
(Off-Hours Transaction)</t>
  </si>
  <si>
    <t>• step nhỏ (step 1–6 = 1h–6h sáng)
• Bất thường so với pattern GD thông thường của KH
• Kết hợp với số tiền lớn → rủi ro cao hơn</t>
  </si>
  <si>
    <t>LightGBM: step=1 → SHAP +1.077 (KB6)
step=550 → SHAP −0.808 (KB1, giờ bình thường)
Đặc trưng quan trọng #3 trong LightGBM toàn cục</t>
  </si>
  <si>
    <t>KB6: step=1 (1h sáng, đầu tháng) → tăng rủi ro đáng kể</t>
  </si>
  <si>
    <t>GD rạng sáng (1-5h) chiếm tỷ lệ nhỏ trong GD bình thường nhưng cao hơn trong GD gian lận. Cần context thêm về lịch sử KH.</t>
  </si>
  <si>
    <t>P4 — MÂU THUẪN SỐ DƯ
(Balance Inconsistency)</t>
  </si>
  <si>
    <t>• errorBalanceOrig = newbalOrig + amount − oldbalOrig ≠ 0
• errorBalanceDest = newbalDest − oldbalDest − amount ≠ 0
• Số liệu không khớp giữa các trường
• AE phát hiện qua reconstruction error cao</t>
  </si>
  <si>
    <t>AE: log_errorBalanceOrig error = 2.631 (KB2 — CAO NHẤT trong tất cả KB)
LGBM: không trực tiếp dùng feature này nhưng gián tiếp qua balance features</t>
  </si>
  <si>
    <t>KB2: log_errorBalanceOrig error=2.631 → AE flagged là ANOMALY</t>
  </si>
  <si>
    <t>Trong PaySim, một số GD gian lận có số dư không khớp giữa các trường. AE phát hiện điều này qua reconstruction error cao.</t>
  </si>
  <si>
    <t>P5 — GIAO DỊCH LỚN BẤT THƯỜNG
(Large Unusual Transaction)</t>
  </si>
  <si>
    <t>• Số tiền GD &gt;&gt; mức thông thường của KH
• Vượt ngưỡng EFT (≥500M VND) hoặc CTR (≥400M VND tiền mặt)
• amount_ratio không cực đoan nhưng số tiền tuyệt đối lớn
• KH LOW risk nhưng GD đột biến</t>
  </si>
  <si>
    <t>LightGBM: amount luôn là top SHAP dương
Layer 1: kích hoạt EFT/CTR báo cáo bắt buộc
Layer 3: amount_risk score = 5/5 khi ≥500M VND</t>
  </si>
  <si>
    <t>KB3 (650M, ML thấp) &amp; KB2 (850M, ML trung bình) → đều vào REVIEW do pháp lý</t>
  </si>
  <si>
    <t>Điển hình cho trường hợp FALSE POSITIVE: GD hợp lệ nhưng vượt ngưỡng pháp lý → REVIEW bắt buộc. Hệ thống phân biệt rõ lý do REVIEW.</t>
  </si>
  <si>
    <t>BIỂU ĐỒ TẦM QUAN TRỌNG ĐẶC TRƯNG – LightGBM (Gain) vs SHAP</t>
  </si>
  <si>
    <t>Gain Score</t>
  </si>
  <si>
    <t>TRUNG BÌNH
Giao dịch lúc đêm khuya / rạng sáng (step nhỏ hoặc step cuối chu kỳ) có xu hướng gian lận cao hơn</t>
  </si>
  <si>
    <t>GIẢM RỦI RO
TRANSFER (1) thường giảm xác suất fraud so với CASH_OUT (0) trong mô hình</t>
  </si>
  <si>
    <t xml:space="preserve"> TĂNG RỦI RO MẠNH
Đặc trưng quan trọng #2 theo SHAP. Số tiền càng lớn → xác suất fraud tăng phi tuyến</t>
  </si>
  <si>
    <t>TĂNG RỦI RO
Đặc trưng quan trọng #1 theo SHAP tổng thể. Tương tác mạnh với amount và newbalanceOrig.</t>
  </si>
  <si>
    <t>0 → RẤT NGUY HIỂM
Nếu = 0: SHAP +1.31 đến +1.49 tăng fraud
Nếu &gt; 0 và lớn: SHAP âm → giảm rủi ro</t>
  </si>
  <si>
    <t>TĂNG RỦI RO (nhẹ)
oldbalanceDest = 0 kết hợp newbalanceOrig = 0 → pattern điển hình của tài khoản mule</t>
  </si>
  <si>
    <t xml:space="preserve"> ÍT ẢNH HƯỞNG
Đặc trưng yếu nhất theo SHAP. Chủ yếu dùng để tính đặc trưng kỹ thuật hóa (balance error).</t>
  </si>
  <si>
    <t xml:space="preserve">SHAP
trung bình </t>
  </si>
  <si>
    <t>TRUNG BÌNH
Số tiền lớn → error cao hơn nhưng không phải yếu tố quyết định</t>
  </si>
  <si>
    <t>TRUNG BÌNH</t>
  </si>
  <si>
    <t>QUAN TRỌNG NHẤT
AE error rất cao khi = 0 vì hiếm gặp trong GD bình thường</t>
  </si>
  <si>
    <t xml:space="preserve"> THẤP</t>
  </si>
  <si>
    <t xml:space="preserve"> CỰC KỲ QUAN TRỌNG
Fraud thường có số dư mâu thuẫn → error rất cao</t>
  </si>
  <si>
    <t xml:space="preserve"> RẤT QUAN TRỌNG
Khi = 1 (rút sạch) → AE error cao vì hiếm trong GD bình thường</t>
  </si>
  <si>
    <t xml:space="preserve"> QUAN TRỌNG
Fraud thường có ratio gần 1.0 (rút gần hết hoặc hết)</t>
  </si>
  <si>
    <t xml:space="preserve"> TRUNG BÌNH</t>
  </si>
  <si>
    <t xml:space="preserve"> THẤP
Ít ảnh hưởng đến AE reconstruction</t>
  </si>
  <si>
    <t xml:space="preserve"> LUÔN TĂNG
ở mọi KB</t>
  </si>
  <si>
    <t xml:space="preserve"> TĂNG khi
số dư lớn</t>
  </si>
  <si>
    <t>TĂNG nếu =0
GIẢM nếu lớn</t>
  </si>
  <si>
    <t xml:space="preserve"> GIẢM nhẹ
hoặc không đáng kể</t>
  </si>
  <si>
    <t xml:space="preserve"> TĂNG nhẹ
khi =0</t>
  </si>
  <si>
    <t>GIẢM với
TRANSFER (1)</t>
  </si>
  <si>
    <t xml:space="preserve"> PHỤ THUỘC
thời điểm</t>
  </si>
  <si>
    <t xml:space="preserve"> Đọc bảng: Màu ĐỎ (SHAP &gt; +1.0) = tăng mạnh xác suất fraud | Màu VÀNG (0 &lt; SHAP ≤ +1.0) = tăng nhẹ | Màu XANH LÁ (SHAP &lt; −1.0) = giảm mạnh | Màu XANH (−1 &lt; SHAP ≤ 0) = giảm nhẹ | — = không xuất hiện trong top-5 SHAP của kịch bản đó</t>
  </si>
  <si>
    <t>Giá trị SHAP theo đặc trưng và kịch bản (dương = tăng fraud, âm = giảm fraud)</t>
  </si>
  <si>
    <t>RẤT CAO — Xác suất fraud:
KB2: 43.5% | KB6: 87.7%</t>
  </si>
  <si>
    <t>CAO — Dấu hiệu rửa tiền qua tài khoản trung gian</t>
  </si>
  <si>
    <t>TRUNG BÌNH – Cần xét kết hợp với các yếu tố khác</t>
  </si>
  <si>
    <t xml:space="preserve"> CAO — Mâu thuẫn số liệu = dấu hiệu thao túng dữ liệu</t>
  </si>
  <si>
    <t>TRUNG BÌNH – Pháp lý yêu cầu báo cáo dù ML thấp</t>
  </si>
  <si>
    <t xml:space="preserve">SHAP Mean </t>
  </si>
  <si>
    <t xml:space="preserve">Integer
 </t>
  </si>
  <si>
    <t xml:space="preserve">Float
 </t>
  </si>
  <si>
    <t xml:space="preserve"> Công thức kiểm tra tính nhất quán: errorBalanceOrig = newbalanceOrig + amount − oldbalanceOrg. Nếu ≠ 0 → có bất thường trong số dư nguồn. Tương tự cho tài khoản đích. Đây là đặc trưng kỹ thuật hóa quan trọng nhất của Autoencoder.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</si>
</sst>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0;\-0.000;0.000"/>
  </numFmts>
  <fonts count="18" x14ac:knownFonts="1">
    <font>
      <sz val="11"/>
      <color theme="1"/>
      <name val="Calibri"/>
      <family val="2"/>
      <charset val="1"/>
    </font>
    <font>
      <b/>
      <sz val="10"/>
      <color rgb="FF1F3864"/>
      <name val="Arial"/>
      <family val="2"/>
    </font>
    <font>
      <sz val="9"/>
      <name val="Arial"/>
      <family val="2"/>
    </font>
    <font>
      <i/>
      <sz val="9"/>
      <color rgb="FF1F3864"/>
      <name val="Arial"/>
      <family val="2"/>
    </font>
    <font>
      <b/>
      <sz val="9"/>
      <color rgb="FF1F3864"/>
      <name val="Arial"/>
      <family val="2"/>
    </font>
    <font>
      <b/>
      <sz val="10"/>
      <color rgb="FFC00000"/>
      <name val="Arial"/>
      <family val="2"/>
    </font>
    <font>
      <sz val="9"/>
      <color rgb="FFAAAAAA"/>
      <name val="Arial"/>
      <family val="2"/>
    </font>
    <font>
      <b/>
      <sz val="10"/>
      <color rgb="FF843C0C"/>
      <name val="Arial"/>
      <family val="2"/>
    </font>
    <font>
      <b/>
      <sz val="10"/>
      <color rgb="FF375623"/>
      <name val="Arial"/>
      <family val="2"/>
    </font>
    <font>
      <i/>
      <sz val="9"/>
      <color rgb="FF595959"/>
      <name val="Arial"/>
      <family val="2"/>
    </font>
    <font>
      <b/>
      <sz val="10"/>
      <color rgb="FF404040"/>
      <name val="Arial"/>
      <family val="2"/>
    </font>
    <font>
      <sz val="10"/>
      <color rgb="FF000000"/>
      <name val="Arial"/>
      <family val="2"/>
    </font>
    <font>
      <b/>
      <sz val="13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CCCC"/>
        <bgColor rgb="FFE6D0F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E6D0F0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404040"/>
      </left>
      <right/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5" fillId="11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7030A0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CE4D6"/>
      <rgbColor rgb="FFE6D0F0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4F81BD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SHAP Mean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 –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Tầm Quan Trọng (Giải Thích)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'Biểu Đồ Tầm Quan Trọng'!$C$3</c:f>
              <c:strCache>
                <c:ptCount val="1"/>
                <c:pt idx="0">
                  <c:v>SHAP Mean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'Biểu Đồ Tầm Quan Trọng'!$A$4:$A$10</c:f>
              <c:strCache>
                <c:ptCount val="7"/>
                <c:pt idx="0">
                  <c:v>oldbalanceOrg</c:v>
                </c:pt>
                <c:pt idx="1">
                  <c:v>amount</c:v>
                </c:pt>
                <c:pt idx="2">
                  <c:v>step</c:v>
                </c:pt>
                <c:pt idx="3">
                  <c:v>newbalanceOrig</c:v>
                </c:pt>
                <c:pt idx="4">
                  <c:v>oldbalanceDest</c:v>
                </c:pt>
                <c:pt idx="5">
                  <c:v>type</c:v>
                </c:pt>
                <c:pt idx="6">
                  <c:v>newbalanceDest</c:v>
                </c:pt>
              </c:strCache>
            </c:strRef>
          </c:cat>
          <c:val>
            <c:numRef>
              <c:f>'Biểu Đồ Tầm Quan Trọng'!$C$4:$C$10</c:f>
              <c:numCache>
                <c:formatCode>General</c:formatCode>
                <c:ptCount val="7"/>
                <c:pt idx="0">
                  <c:v>2.6970000000000001</c:v>
                </c:pt>
                <c:pt idx="1">
                  <c:v>1.375</c:v>
                </c:pt>
                <c:pt idx="2">
                  <c:v>1.339</c:v>
                </c:pt>
                <c:pt idx="3">
                  <c:v>1.1439999999999999</c:v>
                </c:pt>
                <c:pt idx="4">
                  <c:v>0.39200000000000002</c:v>
                </c:pt>
                <c:pt idx="5">
                  <c:v>0.375</c:v>
                </c:pt>
                <c:pt idx="6">
                  <c:v>0.371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3-41C8-A192-DBC6825B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24354"/>
        <c:axId val="5297841"/>
      </c:barChart>
      <c:catAx>
        <c:axId val="145243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SHAP Mean</a:t>
                </a:r>
                <a:endParaRPr lang="el-GR"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7841"/>
        <c:crosses val="autoZero"/>
        <c:auto val="1"/>
        <c:lblAlgn val="ctr"/>
        <c:lblOffset val="100"/>
        <c:noMultiLvlLbl val="0"/>
      </c:catAx>
      <c:valAx>
        <c:axId val="52978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Đặc trưng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243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Gain Score – Tầm Quan Trọng (Hiệu suất Phân Tách)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'Biểu Đồ Tầm Quan Trọng'!$B$3</c:f>
              <c:strCache>
                <c:ptCount val="1"/>
                <c:pt idx="0">
                  <c:v>Gain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'Biểu Đồ Tầm Quan Trọng'!$A$4:$A$10</c:f>
              <c:strCache>
                <c:ptCount val="7"/>
                <c:pt idx="0">
                  <c:v>oldbalanceOrg</c:v>
                </c:pt>
                <c:pt idx="1">
                  <c:v>amount</c:v>
                </c:pt>
                <c:pt idx="2">
                  <c:v>step</c:v>
                </c:pt>
                <c:pt idx="3">
                  <c:v>newbalanceOrig</c:v>
                </c:pt>
                <c:pt idx="4">
                  <c:v>oldbalanceDest</c:v>
                </c:pt>
                <c:pt idx="5">
                  <c:v>type</c:v>
                </c:pt>
                <c:pt idx="6">
                  <c:v>newbalanceDest</c:v>
                </c:pt>
              </c:strCache>
            </c:strRef>
          </c:cat>
          <c:val>
            <c:numRef>
              <c:f>'Biểu Đồ Tầm Quan Trọng'!$B$4:$B$10</c:f>
              <c:numCache>
                <c:formatCode>General</c:formatCode>
                <c:ptCount val="7"/>
                <c:pt idx="0">
                  <c:v>2493</c:v>
                </c:pt>
                <c:pt idx="1">
                  <c:v>2333</c:v>
                </c:pt>
                <c:pt idx="2">
                  <c:v>1663</c:v>
                </c:pt>
                <c:pt idx="3">
                  <c:v>425</c:v>
                </c:pt>
                <c:pt idx="4">
                  <c:v>798</c:v>
                </c:pt>
                <c:pt idx="5">
                  <c:v>353</c:v>
                </c:pt>
                <c:pt idx="6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F-469F-96A2-F7F3D07C1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39682"/>
        <c:axId val="87101734"/>
      </c:barChart>
      <c:catAx>
        <c:axId val="5763968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Gain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01734"/>
        <c:crosses val="autoZero"/>
        <c:auto val="1"/>
        <c:lblAlgn val="ctr"/>
        <c:lblOffset val="100"/>
        <c:noMultiLvlLbl val="0"/>
      </c:catAx>
      <c:valAx>
        <c:axId val="871017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Đặc trưng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39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15</xdr:col>
      <xdr:colOff>473040</xdr:colOff>
      <xdr:row>24</xdr:row>
      <xdr:rowOff>163080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24</xdr:row>
      <xdr:rowOff>160020</xdr:rowOff>
    </xdr:from>
    <xdr:to>
      <xdr:col>15</xdr:col>
      <xdr:colOff>473040</xdr:colOff>
      <xdr:row>46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12"/>
  <sheetViews>
    <sheetView showGridLines="0" zoomScaleNormal="100" workbookViewId="0">
      <selection activeCell="K8" sqref="K8"/>
    </sheetView>
  </sheetViews>
  <sheetFormatPr defaultColWidth="8.6640625" defaultRowHeight="14.4" x14ac:dyDescent="0.3"/>
  <cols>
    <col min="1" max="1" width="18" customWidth="1"/>
    <col min="2" max="2" width="13" customWidth="1"/>
    <col min="3" max="3" width="38" customWidth="1"/>
    <col min="4" max="4" width="24.21875" customWidth="1"/>
    <col min="5" max="6" width="13" customWidth="1"/>
    <col min="7" max="7" width="38" customWidth="1"/>
  </cols>
  <sheetData>
    <row r="1" spans="1:7" ht="31.5" customHeight="1" x14ac:dyDescent="0.3">
      <c r="A1" s="37" t="s">
        <v>0</v>
      </c>
      <c r="B1" s="37"/>
      <c r="C1" s="37"/>
      <c r="D1" s="37"/>
      <c r="E1" s="37"/>
      <c r="F1" s="37"/>
      <c r="G1" s="37"/>
    </row>
    <row r="2" spans="1:7" ht="36" customHeight="1" x14ac:dyDescent="0.3">
      <c r="A2" s="38" t="s">
        <v>1</v>
      </c>
      <c r="B2" s="38"/>
      <c r="C2" s="38"/>
      <c r="D2" s="38"/>
      <c r="E2" s="38"/>
      <c r="F2" s="38"/>
      <c r="G2" s="38"/>
    </row>
    <row r="3" spans="1:7" ht="36" customHeight="1" x14ac:dyDescent="0.3">
      <c r="A3" s="29" t="s">
        <v>2</v>
      </c>
      <c r="B3" s="29" t="s">
        <v>3</v>
      </c>
      <c r="C3" s="29" t="s">
        <v>4</v>
      </c>
      <c r="D3" s="29" t="s">
        <v>5</v>
      </c>
      <c r="E3" s="29" t="s">
        <v>186</v>
      </c>
      <c r="F3" s="29" t="s">
        <v>6</v>
      </c>
      <c r="G3" s="29" t="s">
        <v>7</v>
      </c>
    </row>
    <row r="4" spans="1:7" ht="79.5" customHeight="1" x14ac:dyDescent="0.3">
      <c r="A4" s="1" t="s">
        <v>8</v>
      </c>
      <c r="B4" s="2" t="s">
        <v>211</v>
      </c>
      <c r="C4" s="3" t="s">
        <v>9</v>
      </c>
      <c r="D4" s="4" t="s">
        <v>179</v>
      </c>
      <c r="E4" s="5" t="s">
        <v>10</v>
      </c>
      <c r="F4" s="5" t="s">
        <v>11</v>
      </c>
      <c r="G4" s="3" t="s">
        <v>12</v>
      </c>
    </row>
    <row r="5" spans="1:7" ht="79.5" customHeight="1" x14ac:dyDescent="0.3">
      <c r="A5" s="1" t="s">
        <v>13</v>
      </c>
      <c r="B5" s="6" t="s">
        <v>14</v>
      </c>
      <c r="C5" s="7" t="s">
        <v>15</v>
      </c>
      <c r="D5" s="8" t="s">
        <v>180</v>
      </c>
      <c r="E5" s="5" t="s">
        <v>16</v>
      </c>
      <c r="F5" s="5" t="s">
        <v>17</v>
      </c>
      <c r="G5" s="7" t="s">
        <v>18</v>
      </c>
    </row>
    <row r="6" spans="1:7" ht="79.5" customHeight="1" x14ac:dyDescent="0.3">
      <c r="A6" s="1" t="s">
        <v>19</v>
      </c>
      <c r="B6" s="2" t="s">
        <v>212</v>
      </c>
      <c r="C6" s="3" t="s">
        <v>20</v>
      </c>
      <c r="D6" s="9" t="s">
        <v>181</v>
      </c>
      <c r="E6" s="5" t="s">
        <v>21</v>
      </c>
      <c r="F6" s="5" t="s">
        <v>22</v>
      </c>
      <c r="G6" s="3" t="s">
        <v>23</v>
      </c>
    </row>
    <row r="7" spans="1:7" ht="79.5" customHeight="1" x14ac:dyDescent="0.3">
      <c r="A7" s="1" t="s">
        <v>24</v>
      </c>
      <c r="B7" s="6" t="s">
        <v>212</v>
      </c>
      <c r="C7" s="7" t="s">
        <v>25</v>
      </c>
      <c r="D7" s="9" t="s">
        <v>182</v>
      </c>
      <c r="E7" s="5" t="s">
        <v>26</v>
      </c>
      <c r="F7" s="5" t="s">
        <v>27</v>
      </c>
      <c r="G7" s="7" t="s">
        <v>28</v>
      </c>
    </row>
    <row r="8" spans="1:7" ht="79.5" customHeight="1" x14ac:dyDescent="0.3">
      <c r="A8" s="1" t="s">
        <v>29</v>
      </c>
      <c r="B8" s="2" t="s">
        <v>212</v>
      </c>
      <c r="C8" s="3" t="s">
        <v>30</v>
      </c>
      <c r="D8" s="9" t="s">
        <v>183</v>
      </c>
      <c r="E8" s="5" t="s">
        <v>31</v>
      </c>
      <c r="F8" s="5" t="s">
        <v>32</v>
      </c>
      <c r="G8" s="3" t="s">
        <v>33</v>
      </c>
    </row>
    <row r="9" spans="1:7" ht="79.5" customHeight="1" x14ac:dyDescent="0.3">
      <c r="A9" s="1" t="s">
        <v>34</v>
      </c>
      <c r="B9" s="6" t="s">
        <v>212</v>
      </c>
      <c r="C9" s="7" t="s">
        <v>35</v>
      </c>
      <c r="D9" s="4" t="s">
        <v>184</v>
      </c>
      <c r="E9" s="5" t="s">
        <v>36</v>
      </c>
      <c r="F9" s="5" t="s">
        <v>37</v>
      </c>
      <c r="G9" s="7" t="s">
        <v>38</v>
      </c>
    </row>
    <row r="10" spans="1:7" ht="79.5" customHeight="1" x14ac:dyDescent="0.3">
      <c r="A10" s="1" t="s">
        <v>39</v>
      </c>
      <c r="B10" s="2" t="s">
        <v>212</v>
      </c>
      <c r="C10" s="3" t="s">
        <v>40</v>
      </c>
      <c r="D10" s="8" t="s">
        <v>185</v>
      </c>
      <c r="E10" s="5" t="s">
        <v>41</v>
      </c>
      <c r="F10" s="5" t="s">
        <v>42</v>
      </c>
      <c r="G10" s="3" t="s">
        <v>43</v>
      </c>
    </row>
    <row r="12" spans="1:7" ht="36" customHeight="1" x14ac:dyDescent="0.3">
      <c r="A12" s="39" t="s">
        <v>213</v>
      </c>
      <c r="B12" s="39"/>
      <c r="C12" s="39"/>
      <c r="D12" s="39"/>
      <c r="E12" s="39"/>
      <c r="F12" s="39"/>
      <c r="G12" s="39"/>
    </row>
  </sheetData>
  <mergeCells count="3">
    <mergeCell ref="A1:G1"/>
    <mergeCell ref="A2:G2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G14"/>
  <sheetViews>
    <sheetView showGridLines="0" zoomScaleNormal="100" workbookViewId="0">
      <selection activeCell="D4" sqref="D4"/>
    </sheetView>
  </sheetViews>
  <sheetFormatPr defaultColWidth="8.6640625" defaultRowHeight="14.4" x14ac:dyDescent="0.3"/>
  <cols>
    <col min="1" max="1" width="24" customWidth="1"/>
    <col min="2" max="2" width="32" customWidth="1"/>
    <col min="3" max="3" width="40" customWidth="1"/>
    <col min="4" max="4" width="28" customWidth="1"/>
    <col min="5" max="5" width="16" customWidth="1"/>
    <col min="6" max="6" width="15" customWidth="1"/>
    <col min="7" max="7" width="38" customWidth="1"/>
  </cols>
  <sheetData>
    <row r="1" spans="1:7" ht="31.5" customHeight="1" x14ac:dyDescent="0.3">
      <c r="A1" s="37" t="s">
        <v>44</v>
      </c>
      <c r="B1" s="37"/>
      <c r="C1" s="37"/>
      <c r="D1" s="37"/>
      <c r="E1" s="37"/>
      <c r="F1" s="37"/>
      <c r="G1" s="37"/>
    </row>
    <row r="2" spans="1:7" ht="36" customHeight="1" x14ac:dyDescent="0.3">
      <c r="A2" s="38" t="s">
        <v>45</v>
      </c>
      <c r="B2" s="38"/>
      <c r="C2" s="38"/>
      <c r="D2" s="38"/>
      <c r="E2" s="38"/>
      <c r="F2" s="38"/>
      <c r="G2" s="38"/>
    </row>
    <row r="3" spans="1:7" ht="36" customHeight="1" x14ac:dyDescent="0.3">
      <c r="A3" s="29" t="s">
        <v>46</v>
      </c>
      <c r="B3" s="29" t="s">
        <v>47</v>
      </c>
      <c r="C3" s="29" t="s">
        <v>48</v>
      </c>
      <c r="D3" s="29" t="s">
        <v>49</v>
      </c>
      <c r="E3" s="29" t="s">
        <v>50</v>
      </c>
      <c r="F3" s="29" t="s">
        <v>51</v>
      </c>
      <c r="G3" s="29" t="s">
        <v>52</v>
      </c>
    </row>
    <row r="4" spans="1:7" ht="75" customHeight="1" x14ac:dyDescent="0.3">
      <c r="A4" s="10" t="s">
        <v>53</v>
      </c>
      <c r="B4" s="3" t="s">
        <v>54</v>
      </c>
      <c r="C4" s="3" t="s">
        <v>55</v>
      </c>
      <c r="D4" s="3" t="s">
        <v>56</v>
      </c>
      <c r="E4" s="11" t="s">
        <v>187</v>
      </c>
      <c r="F4" s="12" t="s">
        <v>57</v>
      </c>
      <c r="G4" s="3" t="s">
        <v>58</v>
      </c>
    </row>
    <row r="5" spans="1:7" ht="75" customHeight="1" x14ac:dyDescent="0.3">
      <c r="A5" s="10" t="s">
        <v>59</v>
      </c>
      <c r="B5" s="7" t="s">
        <v>60</v>
      </c>
      <c r="C5" s="7" t="s">
        <v>61</v>
      </c>
      <c r="D5" s="7" t="s">
        <v>62</v>
      </c>
      <c r="E5" s="13" t="s">
        <v>188</v>
      </c>
      <c r="F5" s="12" t="s">
        <v>63</v>
      </c>
      <c r="G5" s="7" t="s">
        <v>64</v>
      </c>
    </row>
    <row r="6" spans="1:7" ht="75" customHeight="1" x14ac:dyDescent="0.3">
      <c r="A6" s="10" t="s">
        <v>65</v>
      </c>
      <c r="B6" s="3" t="s">
        <v>66</v>
      </c>
      <c r="C6" s="3" t="s">
        <v>67</v>
      </c>
      <c r="D6" s="3" t="s">
        <v>68</v>
      </c>
      <c r="E6" s="14" t="s">
        <v>189</v>
      </c>
      <c r="F6" s="12" t="s">
        <v>69</v>
      </c>
      <c r="G6" s="3" t="s">
        <v>70</v>
      </c>
    </row>
    <row r="7" spans="1:7" ht="75" customHeight="1" x14ac:dyDescent="0.3">
      <c r="A7" s="10" t="s">
        <v>71</v>
      </c>
      <c r="B7" s="7" t="s">
        <v>72</v>
      </c>
      <c r="C7" s="7" t="s">
        <v>73</v>
      </c>
      <c r="D7" s="7" t="s">
        <v>74</v>
      </c>
      <c r="E7" s="13" t="s">
        <v>188</v>
      </c>
      <c r="F7" s="12" t="s">
        <v>75</v>
      </c>
      <c r="G7" s="7" t="s">
        <v>76</v>
      </c>
    </row>
    <row r="8" spans="1:7" ht="75" customHeight="1" x14ac:dyDescent="0.3">
      <c r="A8" s="10" t="s">
        <v>77</v>
      </c>
      <c r="B8" s="3" t="s">
        <v>78</v>
      </c>
      <c r="C8" s="3" t="s">
        <v>79</v>
      </c>
      <c r="D8" s="3" t="s">
        <v>80</v>
      </c>
      <c r="E8" s="15" t="s">
        <v>190</v>
      </c>
      <c r="F8" s="12" t="s">
        <v>81</v>
      </c>
      <c r="G8" s="3" t="s">
        <v>82</v>
      </c>
    </row>
    <row r="9" spans="1:7" ht="75" customHeight="1" x14ac:dyDescent="0.3">
      <c r="A9" s="10" t="s">
        <v>83</v>
      </c>
      <c r="B9" s="7" t="s">
        <v>84</v>
      </c>
      <c r="C9" s="7" t="s">
        <v>85</v>
      </c>
      <c r="D9" s="7" t="s">
        <v>86</v>
      </c>
      <c r="E9" s="14" t="s">
        <v>191</v>
      </c>
      <c r="F9" s="12" t="s">
        <v>87</v>
      </c>
      <c r="G9" s="7" t="s">
        <v>88</v>
      </c>
    </row>
    <row r="10" spans="1:7" ht="75" customHeight="1" x14ac:dyDescent="0.3">
      <c r="A10" s="10" t="s">
        <v>89</v>
      </c>
      <c r="B10" s="3" t="s">
        <v>90</v>
      </c>
      <c r="C10" s="3" t="s">
        <v>91</v>
      </c>
      <c r="D10" s="3" t="s">
        <v>92</v>
      </c>
      <c r="E10" s="11" t="s">
        <v>188</v>
      </c>
      <c r="F10" s="12" t="s">
        <v>93</v>
      </c>
      <c r="G10" s="3" t="s">
        <v>94</v>
      </c>
    </row>
    <row r="11" spans="1:7" ht="75" customHeight="1" x14ac:dyDescent="0.3">
      <c r="A11" s="10" t="s">
        <v>95</v>
      </c>
      <c r="B11" s="7" t="s">
        <v>96</v>
      </c>
      <c r="C11" s="7" t="s">
        <v>97</v>
      </c>
      <c r="D11" s="7" t="s">
        <v>98</v>
      </c>
      <c r="E11" s="14" t="s">
        <v>192</v>
      </c>
      <c r="F11" s="12" t="s">
        <v>99</v>
      </c>
      <c r="G11" s="7" t="s">
        <v>100</v>
      </c>
    </row>
    <row r="12" spans="1:7" ht="75" customHeight="1" x14ac:dyDescent="0.3">
      <c r="A12" s="10" t="s">
        <v>101</v>
      </c>
      <c r="B12" s="3" t="s">
        <v>102</v>
      </c>
      <c r="C12" s="3" t="s">
        <v>103</v>
      </c>
      <c r="D12" s="3" t="s">
        <v>104</v>
      </c>
      <c r="E12" s="11" t="s">
        <v>193</v>
      </c>
      <c r="F12" s="12" t="s">
        <v>105</v>
      </c>
      <c r="G12" s="3" t="s">
        <v>106</v>
      </c>
    </row>
    <row r="13" spans="1:7" ht="75" customHeight="1" x14ac:dyDescent="0.3">
      <c r="A13" s="10" t="s">
        <v>107</v>
      </c>
      <c r="B13" s="7" t="s">
        <v>108</v>
      </c>
      <c r="C13" s="7" t="s">
        <v>109</v>
      </c>
      <c r="D13" s="7" t="s">
        <v>110</v>
      </c>
      <c r="E13" s="13" t="s">
        <v>194</v>
      </c>
      <c r="F13" s="12" t="s">
        <v>111</v>
      </c>
      <c r="G13" s="7" t="s">
        <v>112</v>
      </c>
    </row>
    <row r="14" spans="1:7" ht="75" customHeight="1" x14ac:dyDescent="0.3">
      <c r="A14" s="10" t="s">
        <v>113</v>
      </c>
      <c r="B14" s="3" t="s">
        <v>114</v>
      </c>
      <c r="C14" s="3" t="s">
        <v>115</v>
      </c>
      <c r="D14" s="3" t="s">
        <v>116</v>
      </c>
      <c r="E14" s="15" t="s">
        <v>195</v>
      </c>
      <c r="F14" s="12" t="s">
        <v>117</v>
      </c>
      <c r="G14" s="3" t="s">
        <v>118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I14"/>
  <sheetViews>
    <sheetView showGridLines="0" zoomScaleNormal="100" workbookViewId="0">
      <selection activeCell="G5" sqref="G5"/>
    </sheetView>
  </sheetViews>
  <sheetFormatPr defaultColWidth="8.6640625" defaultRowHeight="14.4" x14ac:dyDescent="0.3"/>
  <cols>
    <col min="1" max="1" width="18" customWidth="1"/>
    <col min="2" max="7" width="16" customWidth="1"/>
    <col min="8" max="8" width="18" customWidth="1"/>
    <col min="9" max="9" width="40" customWidth="1"/>
  </cols>
  <sheetData>
    <row r="1" spans="1:9" ht="31.5" customHeight="1" x14ac:dyDescent="0.3">
      <c r="A1" s="37" t="s">
        <v>119</v>
      </c>
      <c r="B1" s="37"/>
      <c r="C1" s="37"/>
      <c r="D1" s="37"/>
      <c r="E1" s="37"/>
      <c r="F1" s="37"/>
      <c r="G1" s="37"/>
      <c r="H1" s="37"/>
      <c r="I1" s="37"/>
    </row>
    <row r="2" spans="1:9" ht="36" customHeight="1" x14ac:dyDescent="0.3">
      <c r="A2" s="38" t="s">
        <v>120</v>
      </c>
      <c r="B2" s="38"/>
      <c r="C2" s="38"/>
      <c r="D2" s="38"/>
      <c r="E2" s="38"/>
      <c r="F2" s="38"/>
      <c r="G2" s="38"/>
      <c r="H2" s="38"/>
      <c r="I2" s="38"/>
    </row>
    <row r="3" spans="1:9" ht="21.75" customHeight="1" x14ac:dyDescent="0.3">
      <c r="A3" s="40" t="s">
        <v>204</v>
      </c>
      <c r="B3" s="40"/>
      <c r="C3" s="40"/>
      <c r="D3" s="40"/>
      <c r="E3" s="40"/>
      <c r="F3" s="40"/>
      <c r="G3" s="40"/>
      <c r="H3" s="40"/>
      <c r="I3" s="40"/>
    </row>
    <row r="4" spans="1:9" ht="43.5" customHeight="1" x14ac:dyDescent="0.3">
      <c r="A4" s="29" t="s">
        <v>121</v>
      </c>
      <c r="B4" s="29" t="s">
        <v>122</v>
      </c>
      <c r="C4" s="29" t="s">
        <v>123</v>
      </c>
      <c r="D4" s="29" t="s">
        <v>124</v>
      </c>
      <c r="E4" s="29" t="s">
        <v>125</v>
      </c>
      <c r="F4" s="29" t="s">
        <v>126</v>
      </c>
      <c r="G4" s="29" t="s">
        <v>127</v>
      </c>
      <c r="H4" s="29" t="s">
        <v>128</v>
      </c>
      <c r="I4" s="29" t="s">
        <v>129</v>
      </c>
    </row>
    <row r="5" spans="1:9" ht="69.75" customHeight="1" x14ac:dyDescent="0.3">
      <c r="A5" s="1" t="s">
        <v>19</v>
      </c>
      <c r="B5" s="16">
        <v>4.1440000000000001</v>
      </c>
      <c r="C5" s="16">
        <v>4.5759999999999996</v>
      </c>
      <c r="D5" s="16">
        <v>2.2349999999999999</v>
      </c>
      <c r="E5" s="16">
        <v>3.9289999999999998</v>
      </c>
      <c r="F5" s="16">
        <v>1.704</v>
      </c>
      <c r="G5" s="16">
        <v>3.3919999999999999</v>
      </c>
      <c r="H5" s="17" t="s">
        <v>196</v>
      </c>
      <c r="I5" s="7" t="s">
        <v>130</v>
      </c>
    </row>
    <row r="6" spans="1:9" ht="69.75" customHeight="1" x14ac:dyDescent="0.3">
      <c r="A6" s="1" t="s">
        <v>24</v>
      </c>
      <c r="B6" s="18" t="s">
        <v>131</v>
      </c>
      <c r="C6" s="16">
        <v>1.871</v>
      </c>
      <c r="D6" s="16">
        <v>1.06</v>
      </c>
      <c r="E6" s="18" t="s">
        <v>131</v>
      </c>
      <c r="F6" s="19">
        <v>0.19700000000000001</v>
      </c>
      <c r="G6" s="16">
        <v>1.796</v>
      </c>
      <c r="H6" s="3" t="s">
        <v>197</v>
      </c>
      <c r="I6" s="7" t="s">
        <v>132</v>
      </c>
    </row>
    <row r="7" spans="1:9" ht="69.75" customHeight="1" x14ac:dyDescent="0.3">
      <c r="A7" s="1" t="s">
        <v>29</v>
      </c>
      <c r="B7" s="20">
        <v>-4.59</v>
      </c>
      <c r="C7" s="16">
        <v>1.3149999999999999</v>
      </c>
      <c r="D7" s="20">
        <v>-5.0789999999999997</v>
      </c>
      <c r="E7" s="20">
        <v>-5.4180000000000001</v>
      </c>
      <c r="F7" s="20">
        <v>-5.7720000000000002</v>
      </c>
      <c r="G7" s="16">
        <v>1.486</v>
      </c>
      <c r="H7" s="17" t="s">
        <v>198</v>
      </c>
      <c r="I7" s="7" t="s">
        <v>133</v>
      </c>
    </row>
    <row r="8" spans="1:9" ht="69.75" customHeight="1" x14ac:dyDescent="0.3">
      <c r="A8" s="1" t="s">
        <v>39</v>
      </c>
      <c r="B8" s="18" t="s">
        <v>131</v>
      </c>
      <c r="C8" s="18" t="s">
        <v>131</v>
      </c>
      <c r="D8" s="18" t="s">
        <v>131</v>
      </c>
      <c r="E8" s="21">
        <v>-9.0999999999999998E-2</v>
      </c>
      <c r="F8" s="21">
        <v>-0.219</v>
      </c>
      <c r="G8" s="18" t="s">
        <v>131</v>
      </c>
      <c r="H8" s="3" t="s">
        <v>199</v>
      </c>
      <c r="I8" s="7" t="s">
        <v>134</v>
      </c>
    </row>
    <row r="9" spans="1:9" ht="69.75" customHeight="1" x14ac:dyDescent="0.3">
      <c r="A9" s="1" t="s">
        <v>34</v>
      </c>
      <c r="B9" s="19">
        <v>0.186</v>
      </c>
      <c r="C9" s="22">
        <v>0.86599999999999999</v>
      </c>
      <c r="D9" s="18" t="s">
        <v>131</v>
      </c>
      <c r="E9" s="22">
        <v>0.58199999999999996</v>
      </c>
      <c r="F9" s="18" t="s">
        <v>131</v>
      </c>
      <c r="G9" s="22">
        <v>0.64600000000000002</v>
      </c>
      <c r="H9" s="17" t="s">
        <v>200</v>
      </c>
      <c r="I9" s="7" t="s">
        <v>135</v>
      </c>
    </row>
    <row r="10" spans="1:9" ht="69.75" customHeight="1" x14ac:dyDescent="0.3">
      <c r="A10" s="1" t="s">
        <v>13</v>
      </c>
      <c r="B10" s="20">
        <v>-1.3919999999999999</v>
      </c>
      <c r="C10" s="20">
        <v>-1.2</v>
      </c>
      <c r="D10" s="20">
        <v>-1.411</v>
      </c>
      <c r="E10" s="18" t="s">
        <v>131</v>
      </c>
      <c r="F10" s="20">
        <v>-1.131</v>
      </c>
      <c r="G10" s="18" t="s">
        <v>131</v>
      </c>
      <c r="H10" s="3" t="s">
        <v>201</v>
      </c>
      <c r="I10" s="7" t="s">
        <v>136</v>
      </c>
    </row>
    <row r="11" spans="1:9" ht="69.75" customHeight="1" x14ac:dyDescent="0.3">
      <c r="A11" s="1" t="s">
        <v>8</v>
      </c>
      <c r="B11" s="23">
        <v>-0.80800000000000005</v>
      </c>
      <c r="C11" s="18" t="s">
        <v>131</v>
      </c>
      <c r="D11" s="21">
        <v>-0.40300000000000002</v>
      </c>
      <c r="E11" s="23">
        <v>-0.82699999999999996</v>
      </c>
      <c r="F11" s="18" t="s">
        <v>131</v>
      </c>
      <c r="G11" s="16">
        <v>1.077</v>
      </c>
      <c r="H11" s="17" t="s">
        <v>202</v>
      </c>
      <c r="I11" s="7" t="s">
        <v>137</v>
      </c>
    </row>
    <row r="12" spans="1:9" ht="69.75" customHeight="1" x14ac:dyDescent="0.3">
      <c r="A12" s="1" t="s">
        <v>138</v>
      </c>
      <c r="B12" s="20">
        <v>-6.3940000000000001</v>
      </c>
      <c r="C12" s="20">
        <v>-6.3940000000000001</v>
      </c>
      <c r="D12" s="20">
        <v>-6.3940000000000001</v>
      </c>
      <c r="E12" s="20">
        <v>-6.3940000000000001</v>
      </c>
      <c r="F12" s="20">
        <v>-6.3940000000000001</v>
      </c>
      <c r="G12" s="20">
        <v>-6.3940000000000001</v>
      </c>
      <c r="H12" s="3" t="s">
        <v>139</v>
      </c>
      <c r="I12" s="7" t="s">
        <v>140</v>
      </c>
    </row>
    <row r="13" spans="1:9" ht="69.75" customHeight="1" x14ac:dyDescent="0.3">
      <c r="A13" s="1" t="s">
        <v>141</v>
      </c>
      <c r="B13" s="20">
        <v>-8.85</v>
      </c>
      <c r="C13" s="21">
        <v>-0.26</v>
      </c>
      <c r="D13" s="18" t="s">
        <v>131</v>
      </c>
      <c r="E13" s="18" t="s">
        <v>131</v>
      </c>
      <c r="F13" s="18" t="s">
        <v>131</v>
      </c>
      <c r="G13" s="16">
        <v>2.56</v>
      </c>
      <c r="H13" s="17" t="s">
        <v>142</v>
      </c>
      <c r="I13" s="7" t="s">
        <v>143</v>
      </c>
    </row>
    <row r="14" spans="1:9" ht="21.75" customHeight="1" x14ac:dyDescent="0.3">
      <c r="A14" s="41" t="s">
        <v>203</v>
      </c>
      <c r="B14" s="41"/>
      <c r="C14" s="41"/>
      <c r="D14" s="41"/>
      <c r="E14" s="41"/>
      <c r="F14" s="41"/>
      <c r="G14" s="41"/>
      <c r="H14" s="41"/>
      <c r="I14" s="41"/>
    </row>
  </sheetData>
  <mergeCells count="4">
    <mergeCell ref="A1:I1"/>
    <mergeCell ref="A2:I2"/>
    <mergeCell ref="A3:I3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3C0C"/>
  </sheetPr>
  <dimension ref="A1:F21"/>
  <sheetViews>
    <sheetView showGridLines="0" zoomScaleNormal="100" workbookViewId="0">
      <selection activeCell="D5" sqref="D5"/>
    </sheetView>
  </sheetViews>
  <sheetFormatPr defaultColWidth="8.6640625" defaultRowHeight="14.4" x14ac:dyDescent="0.3"/>
  <cols>
    <col min="1" max="1" width="13.33203125" style="34" customWidth="1"/>
    <col min="2" max="2" width="32" style="34" customWidth="1"/>
    <col min="3" max="3" width="35" style="34" customWidth="1"/>
    <col min="4" max="5" width="20" style="34" customWidth="1"/>
    <col min="6" max="6" width="40" style="34" customWidth="1"/>
    <col min="7" max="16384" width="8.6640625" style="34"/>
  </cols>
  <sheetData>
    <row r="1" spans="1:6" ht="31.5" customHeight="1" x14ac:dyDescent="0.3">
      <c r="A1" s="37" t="s">
        <v>144</v>
      </c>
      <c r="B1" s="37"/>
      <c r="C1" s="37"/>
      <c r="D1" s="37"/>
      <c r="E1" s="37"/>
      <c r="F1" s="37"/>
    </row>
    <row r="2" spans="1:6" ht="36" customHeight="1" x14ac:dyDescent="0.3">
      <c r="A2" s="38" t="s">
        <v>145</v>
      </c>
      <c r="B2" s="38"/>
      <c r="C2" s="38"/>
      <c r="D2" s="38"/>
      <c r="E2" s="38"/>
      <c r="F2" s="38"/>
    </row>
    <row r="3" spans="1:6" ht="49.5" customHeight="1" x14ac:dyDescent="0.3">
      <c r="A3" s="42" t="s">
        <v>146</v>
      </c>
      <c r="B3" s="42"/>
      <c r="C3" s="42"/>
      <c r="D3" s="42"/>
      <c r="E3" s="42"/>
      <c r="F3" s="42"/>
    </row>
    <row r="4" spans="1:6" ht="19.5" customHeight="1" x14ac:dyDescent="0.3">
      <c r="A4" s="32" t="s">
        <v>147</v>
      </c>
      <c r="B4" s="33" t="s">
        <v>148</v>
      </c>
      <c r="C4" s="33" t="s">
        <v>149</v>
      </c>
      <c r="D4" s="33" t="s">
        <v>150</v>
      </c>
      <c r="E4" s="33" t="s">
        <v>151</v>
      </c>
      <c r="F4" s="33" t="s">
        <v>152</v>
      </c>
    </row>
    <row r="5" spans="1:6" ht="90" customHeight="1" x14ac:dyDescent="0.3">
      <c r="A5" s="24"/>
      <c r="B5" s="24" t="s">
        <v>153</v>
      </c>
      <c r="C5" s="24" t="s">
        <v>154</v>
      </c>
      <c r="D5" s="24" t="s">
        <v>155</v>
      </c>
      <c r="E5" s="30" t="s">
        <v>205</v>
      </c>
      <c r="F5" s="24" t="s">
        <v>156</v>
      </c>
    </row>
    <row r="7" spans="1:6" ht="49.5" customHeight="1" x14ac:dyDescent="0.3">
      <c r="A7" s="42" t="s">
        <v>157</v>
      </c>
      <c r="B7" s="42"/>
      <c r="C7" s="42"/>
      <c r="D7" s="42"/>
      <c r="E7" s="42"/>
      <c r="F7" s="42"/>
    </row>
    <row r="8" spans="1:6" ht="19.5" customHeight="1" x14ac:dyDescent="0.3">
      <c r="A8" s="32" t="s">
        <v>147</v>
      </c>
      <c r="B8" s="33" t="s">
        <v>148</v>
      </c>
      <c r="C8" s="33" t="s">
        <v>149</v>
      </c>
      <c r="D8" s="33" t="s">
        <v>150</v>
      </c>
      <c r="E8" s="33" t="s">
        <v>151</v>
      </c>
      <c r="F8" s="33" t="s">
        <v>152</v>
      </c>
    </row>
    <row r="9" spans="1:6" ht="90" customHeight="1" x14ac:dyDescent="0.3">
      <c r="A9" s="24"/>
      <c r="B9" s="24" t="s">
        <v>158</v>
      </c>
      <c r="C9" s="24" t="s">
        <v>159</v>
      </c>
      <c r="D9" s="24" t="s">
        <v>160</v>
      </c>
      <c r="E9" s="31" t="s">
        <v>206</v>
      </c>
      <c r="F9" s="24" t="s">
        <v>161</v>
      </c>
    </row>
    <row r="11" spans="1:6" ht="49.5" customHeight="1" x14ac:dyDescent="0.3">
      <c r="A11" s="42" t="s">
        <v>162</v>
      </c>
      <c r="B11" s="42"/>
      <c r="C11" s="42"/>
      <c r="D11" s="42"/>
      <c r="E11" s="42"/>
      <c r="F11" s="42"/>
    </row>
    <row r="12" spans="1:6" ht="19.5" customHeight="1" x14ac:dyDescent="0.3">
      <c r="A12" s="32" t="s">
        <v>147</v>
      </c>
      <c r="B12" s="33" t="s">
        <v>148</v>
      </c>
      <c r="C12" s="33" t="s">
        <v>149</v>
      </c>
      <c r="D12" s="33" t="s">
        <v>150</v>
      </c>
      <c r="E12" s="33" t="s">
        <v>151</v>
      </c>
      <c r="F12" s="33" t="s">
        <v>152</v>
      </c>
    </row>
    <row r="13" spans="1:6" ht="90" customHeight="1" x14ac:dyDescent="0.3">
      <c r="A13" s="24"/>
      <c r="B13" s="24" t="s">
        <v>163</v>
      </c>
      <c r="C13" s="24" t="s">
        <v>164</v>
      </c>
      <c r="D13" s="24" t="s">
        <v>165</v>
      </c>
      <c r="E13" s="35" t="s">
        <v>207</v>
      </c>
      <c r="F13" s="24" t="s">
        <v>166</v>
      </c>
    </row>
    <row r="15" spans="1:6" ht="49.5" customHeight="1" x14ac:dyDescent="0.3">
      <c r="A15" s="42" t="s">
        <v>167</v>
      </c>
      <c r="B15" s="42"/>
      <c r="C15" s="42"/>
      <c r="D15" s="42"/>
      <c r="E15" s="42"/>
      <c r="F15" s="42"/>
    </row>
    <row r="16" spans="1:6" ht="19.5" customHeight="1" x14ac:dyDescent="0.3">
      <c r="A16" s="32" t="s">
        <v>147</v>
      </c>
      <c r="B16" s="33" t="s">
        <v>148</v>
      </c>
      <c r="C16" s="33" t="s">
        <v>149</v>
      </c>
      <c r="D16" s="33" t="s">
        <v>150</v>
      </c>
      <c r="E16" s="33" t="s">
        <v>151</v>
      </c>
      <c r="F16" s="33" t="s">
        <v>152</v>
      </c>
    </row>
    <row r="17" spans="1:6" ht="90" customHeight="1" x14ac:dyDescent="0.3">
      <c r="A17" s="24"/>
      <c r="B17" s="24" t="s">
        <v>168</v>
      </c>
      <c r="C17" s="24" t="s">
        <v>169</v>
      </c>
      <c r="D17" s="24" t="s">
        <v>170</v>
      </c>
      <c r="E17" s="31" t="s">
        <v>208</v>
      </c>
      <c r="F17" s="24" t="s">
        <v>171</v>
      </c>
    </row>
    <row r="19" spans="1:6" ht="49.5" customHeight="1" x14ac:dyDescent="0.3">
      <c r="A19" s="42" t="s">
        <v>172</v>
      </c>
      <c r="B19" s="42"/>
      <c r="C19" s="42"/>
      <c r="D19" s="42"/>
      <c r="E19" s="42"/>
      <c r="F19" s="42"/>
    </row>
    <row r="20" spans="1:6" ht="19.5" customHeight="1" x14ac:dyDescent="0.3">
      <c r="A20" s="32" t="s">
        <v>147</v>
      </c>
      <c r="B20" s="33" t="s">
        <v>148</v>
      </c>
      <c r="C20" s="33" t="s">
        <v>149</v>
      </c>
      <c r="D20" s="33" t="s">
        <v>150</v>
      </c>
      <c r="E20" s="33" t="s">
        <v>151</v>
      </c>
      <c r="F20" s="33" t="s">
        <v>152</v>
      </c>
    </row>
    <row r="21" spans="1:6" ht="90" customHeight="1" x14ac:dyDescent="0.3">
      <c r="A21" s="24"/>
      <c r="B21" s="24" t="s">
        <v>173</v>
      </c>
      <c r="C21" s="24" t="s">
        <v>174</v>
      </c>
      <c r="D21" s="24" t="s">
        <v>175</v>
      </c>
      <c r="E21" s="36" t="s">
        <v>209</v>
      </c>
      <c r="F21" s="24" t="s">
        <v>176</v>
      </c>
    </row>
  </sheetData>
  <mergeCells count="7">
    <mergeCell ref="A15:F15"/>
    <mergeCell ref="A19:F19"/>
    <mergeCell ref="A1:F1"/>
    <mergeCell ref="A2:F2"/>
    <mergeCell ref="A3:F3"/>
    <mergeCell ref="A7:F7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F10"/>
  <sheetViews>
    <sheetView showGridLines="0" tabSelected="1" zoomScaleNormal="100" workbookViewId="0">
      <selection activeCell="C25" sqref="C25"/>
    </sheetView>
  </sheetViews>
  <sheetFormatPr defaultColWidth="8.6640625" defaultRowHeight="14.4" x14ac:dyDescent="0.3"/>
  <cols>
    <col min="1" max="1" width="18" customWidth="1"/>
    <col min="2" max="3" width="14" customWidth="1"/>
  </cols>
  <sheetData>
    <row r="1" spans="1:6" ht="40.799999999999997" customHeight="1" x14ac:dyDescent="0.3">
      <c r="A1" s="37" t="s">
        <v>177</v>
      </c>
      <c r="B1" s="37"/>
      <c r="C1" s="37"/>
      <c r="D1" s="37"/>
      <c r="E1" s="37"/>
      <c r="F1" s="37"/>
    </row>
    <row r="3" spans="1:6" ht="21.75" customHeight="1" x14ac:dyDescent="0.3">
      <c r="A3" s="25" t="s">
        <v>121</v>
      </c>
      <c r="B3" s="25" t="s">
        <v>178</v>
      </c>
      <c r="C3" s="25" t="s">
        <v>210</v>
      </c>
    </row>
    <row r="4" spans="1:6" ht="21.75" customHeight="1" x14ac:dyDescent="0.3">
      <c r="A4" s="26" t="s">
        <v>24</v>
      </c>
      <c r="B4" s="27">
        <v>2493</v>
      </c>
      <c r="C4" s="27">
        <v>2.6970000000000001</v>
      </c>
    </row>
    <row r="5" spans="1:6" ht="21.75" customHeight="1" x14ac:dyDescent="0.3">
      <c r="A5" s="26" t="s">
        <v>19</v>
      </c>
      <c r="B5" s="28">
        <v>2333</v>
      </c>
      <c r="C5" s="28">
        <v>1.375</v>
      </c>
    </row>
    <row r="6" spans="1:6" ht="21.75" customHeight="1" x14ac:dyDescent="0.3">
      <c r="A6" s="26" t="s">
        <v>8</v>
      </c>
      <c r="B6" s="27">
        <v>1663</v>
      </c>
      <c r="C6" s="27">
        <v>1.339</v>
      </c>
    </row>
    <row r="7" spans="1:6" ht="21.75" customHeight="1" x14ac:dyDescent="0.3">
      <c r="A7" s="26" t="s">
        <v>29</v>
      </c>
      <c r="B7" s="28">
        <v>425</v>
      </c>
      <c r="C7" s="28">
        <v>1.1439999999999999</v>
      </c>
    </row>
    <row r="8" spans="1:6" ht="21.75" customHeight="1" x14ac:dyDescent="0.3">
      <c r="A8" s="26" t="s">
        <v>34</v>
      </c>
      <c r="B8" s="27">
        <v>798</v>
      </c>
      <c r="C8" s="27">
        <v>0.39200000000000002</v>
      </c>
    </row>
    <row r="9" spans="1:6" ht="21.75" customHeight="1" x14ac:dyDescent="0.3">
      <c r="A9" s="26" t="s">
        <v>13</v>
      </c>
      <c r="B9" s="28">
        <v>353</v>
      </c>
      <c r="C9" s="28">
        <v>0.375</v>
      </c>
    </row>
    <row r="10" spans="1:6" ht="21.75" customHeight="1" x14ac:dyDescent="0.3">
      <c r="A10" s="26" t="s">
        <v>39</v>
      </c>
      <c r="B10" s="27">
        <v>935</v>
      </c>
      <c r="C10" s="27">
        <v>0.371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Trường Dữ Liệu PaySim</vt:lpstr>
      <vt:lpstr>Đặc Trưng Kỹ Thuật Hóa</vt:lpstr>
      <vt:lpstr>SHAP Contribution</vt:lpstr>
      <vt:lpstr>Pattern Fraud Điển Hình</vt:lpstr>
      <vt:lpstr>Biểu Đồ Tầm Quan Trọng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HOANG_PHU</cp:lastModifiedBy>
  <cp:revision>1</cp:revision>
  <dcterms:created xsi:type="dcterms:W3CDTF">2026-04-10T09:37:38Z</dcterms:created>
  <dcterms:modified xsi:type="dcterms:W3CDTF">2026-04-12T00:17:35Z</dcterms:modified>
  <dc:language>en-US</dc:language>
</cp:coreProperties>
</file>